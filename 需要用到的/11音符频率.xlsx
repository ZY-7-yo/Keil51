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OneDrive\桌面\KeilProject51\需要用到的\"/>
    </mc:Choice>
  </mc:AlternateContent>
  <bookViews>
    <workbookView windowWidth="20152" windowHeight="89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<sst xmlns="http://schemas.openxmlformats.org/spreadsheetml/2006/main" count="26" uniqueCount="16">
  <si>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11.0592MHz</t>
  </si>
  <si>
    <t>音符</t>
  </si>
  <si>
    <t>频率</t>
  </si>
  <si>
    <t>周期（us）</t>
  </si>
  <si>
    <t>周期/2（us）</t>
  </si>
  <si>
    <t>取整</t>
  </si>
  <si>
    <t>重装载值</t>
  </si>
  <si>
    <t>索引</t>
  </si>
  <si>
    <t>低</t>
  </si>
  <si>
    <t>1#</t>
  </si>
  <si>
    <t>2#</t>
  </si>
  <si>
    <t>4#</t>
  </si>
  <si>
    <t>5#</t>
  </si>
  <si>
    <t>6#</t>
  </si>
  <si>
    <t>中</t>
  </si>
  <si>
    <t>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</si>
</sst>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Font="1" applyFill="1" applyBorder="1" applyAlignment="1">
      <alignment vertical="center"/>
    </xf>
    <xf numFmtId="176" fontId="0" fillId="0" borderId="0" xfId="0" applyNumberFormat="1" applyFont="1" applyFill="1" applyBorder="1" applyAlignment="1">
      <alignment vertical="center"/>
    </xf>
    <xf numFmtId="1" fontId="0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tabSelected="1" workbookViewId="0">
      <selection activeCell="J32" sqref="J32"/>
    </sheetView>
  </sheetViews>
  <sheetFormatPr defaultColWidth="9" defaultRowHeight="13.5" outlineLevelCol="7"/>
  <cols>
    <col min="1" max="1" width="11.8230088495575" customWidth="1"/>
    <col min="3" max="3" width="10.3628318584071" customWidth="1"/>
    <col min="5" max="5" width="13.0796460176991" customWidth="1"/>
    <col min="8" max="8" width="9" style="1"/>
  </cols>
  <sheetData>
    <row r="1" spans="1: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>
        <v>1</v>
      </c>
      <c r="C2" s="2">
        <v>130.81</v>
      </c>
      <c r="D2" s="3">
        <f t="shared" ref="D2:D37" si="0">1000000/C2</f>
        <v>7644.67548352572</v>
      </c>
      <c r="E2" s="3">
        <f t="shared" ref="E2:E37" si="1">D2/2</f>
        <v>3822.33774176286</v>
      </c>
      <c r="F2" s="4">
        <f t="shared" ref="F2:F37" si="2">ROUND(E2/(12/11.0592),0)</f>
        <v>3523</v>
      </c>
      <c r="G2" s="4">
        <f t="shared" ref="G2:G37" si="3">65536-F2</f>
        <v>62013</v>
      </c>
      <c r="H2" s="1">
        <v>1</v>
      </c>
    </row>
    <row r="3" spans="1:8">
      <c r="A3" s="1"/>
      <c r="B3" s="1" t="s">
        <v>9</v>
      </c>
      <c r="C3" s="2">
        <v>138.59</v>
      </c>
      <c r="D3" s="3">
        <f t="shared" si="0"/>
        <v>7215.52781585973</v>
      </c>
      <c r="E3" s="3">
        <f t="shared" si="1"/>
        <v>3607.76390792987</v>
      </c>
      <c r="F3" s="4">
        <f t="shared" si="2"/>
        <v>3325</v>
      </c>
      <c r="G3" s="4">
        <f t="shared" si="3"/>
        <v>62211</v>
      </c>
      <c r="H3" s="1">
        <v>2</v>
      </c>
    </row>
    <row r="4" spans="1:8">
      <c r="A4" s="1"/>
      <c r="B4" s="1">
        <v>2</v>
      </c>
      <c r="C4" s="2">
        <v>146.83</v>
      </c>
      <c r="D4" s="3">
        <f t="shared" si="0"/>
        <v>6810.59728938228</v>
      </c>
      <c r="E4" s="3">
        <f t="shared" si="1"/>
        <v>3405.29864469114</v>
      </c>
      <c r="F4" s="4">
        <f t="shared" si="2"/>
        <v>3138</v>
      </c>
      <c r="G4" s="4">
        <f t="shared" si="3"/>
        <v>62398</v>
      </c>
      <c r="H4" s="1">
        <v>3</v>
      </c>
    </row>
    <row r="5" spans="1:8">
      <c r="A5" s="1"/>
      <c r="B5" s="1" t="s">
        <v>10</v>
      </c>
      <c r="C5" s="2">
        <v>155.56</v>
      </c>
      <c r="D5" s="3">
        <f t="shared" si="0"/>
        <v>6428.3877603497</v>
      </c>
      <c r="E5" s="3">
        <f t="shared" si="1"/>
        <v>3214.19388017485</v>
      </c>
      <c r="F5" s="4">
        <f t="shared" si="2"/>
        <v>2962</v>
      </c>
      <c r="G5" s="4">
        <f t="shared" si="3"/>
        <v>62574</v>
      </c>
      <c r="H5" s="1">
        <v>4</v>
      </c>
    </row>
    <row r="6" spans="1:8">
      <c r="A6" s="1"/>
      <c r="B6" s="1">
        <v>3</v>
      </c>
      <c r="C6" s="2">
        <v>164.81</v>
      </c>
      <c r="D6" s="3">
        <f t="shared" si="0"/>
        <v>6067.59298586251</v>
      </c>
      <c r="E6" s="3">
        <f t="shared" si="1"/>
        <v>3033.79649293125</v>
      </c>
      <c r="F6" s="4">
        <f t="shared" si="2"/>
        <v>2796</v>
      </c>
      <c r="G6" s="4">
        <f t="shared" si="3"/>
        <v>62740</v>
      </c>
      <c r="H6" s="1">
        <v>5</v>
      </c>
    </row>
    <row r="7" spans="1:8">
      <c r="A7" s="1"/>
      <c r="B7" s="1">
        <v>4</v>
      </c>
      <c r="C7" s="2">
        <v>174.61</v>
      </c>
      <c r="D7" s="3">
        <f t="shared" si="0"/>
        <v>5727.0488517267</v>
      </c>
      <c r="E7" s="3">
        <f t="shared" si="1"/>
        <v>2863.52442586335</v>
      </c>
      <c r="F7" s="4">
        <f t="shared" si="2"/>
        <v>2639</v>
      </c>
      <c r="G7" s="4">
        <f t="shared" si="3"/>
        <v>62897</v>
      </c>
      <c r="H7" s="1">
        <v>6</v>
      </c>
    </row>
    <row r="8" spans="1:8">
      <c r="A8" s="1"/>
      <c r="B8" s="1" t="s">
        <v>11</v>
      </c>
      <c r="C8" s="2">
        <v>185</v>
      </c>
      <c r="D8" s="3">
        <f t="shared" si="0"/>
        <v>5405.4054054054</v>
      </c>
      <c r="E8" s="3">
        <f t="shared" si="1"/>
        <v>2702.7027027027</v>
      </c>
      <c r="F8" s="4">
        <f t="shared" si="2"/>
        <v>2491</v>
      </c>
      <c r="G8" s="4">
        <f t="shared" si="3"/>
        <v>63045</v>
      </c>
      <c r="H8" s="1">
        <v>7</v>
      </c>
    </row>
    <row r="9" spans="1:8">
      <c r="A9" s="1"/>
      <c r="B9" s="1">
        <v>5</v>
      </c>
      <c r="C9" s="2">
        <v>196</v>
      </c>
      <c r="D9" s="3">
        <f t="shared" si="0"/>
        <v>5102.04081632653</v>
      </c>
      <c r="E9" s="3">
        <f t="shared" si="1"/>
        <v>2551.02040816327</v>
      </c>
      <c r="F9" s="4">
        <f t="shared" si="2"/>
        <v>2351</v>
      </c>
      <c r="G9" s="4">
        <f t="shared" si="3"/>
        <v>63185</v>
      </c>
      <c r="H9" s="1">
        <v>8</v>
      </c>
    </row>
    <row r="10" spans="1:8">
      <c r="A10" s="1"/>
      <c r="B10" s="1" t="s">
        <v>12</v>
      </c>
      <c r="C10" s="2">
        <v>207.65</v>
      </c>
      <c r="D10" s="3">
        <f t="shared" si="0"/>
        <v>4815.79581025764</v>
      </c>
      <c r="E10" s="3">
        <f t="shared" si="1"/>
        <v>2407.89790512882</v>
      </c>
      <c r="F10" s="4">
        <f t="shared" si="2"/>
        <v>2219</v>
      </c>
      <c r="G10" s="4">
        <f t="shared" si="3"/>
        <v>63317</v>
      </c>
      <c r="H10" s="1">
        <v>9</v>
      </c>
    </row>
    <row r="11" spans="1:8">
      <c r="A11" s="1"/>
      <c r="B11" s="1">
        <v>6</v>
      </c>
      <c r="C11" s="2">
        <v>220</v>
      </c>
      <c r="D11" s="3">
        <f t="shared" si="0"/>
        <v>4545.45454545455</v>
      </c>
      <c r="E11" s="3">
        <f t="shared" si="1"/>
        <v>2272.72727272727</v>
      </c>
      <c r="F11" s="4">
        <f t="shared" si="2"/>
        <v>2095</v>
      </c>
      <c r="G11" s="4">
        <f t="shared" si="3"/>
        <v>63441</v>
      </c>
      <c r="H11" s="1">
        <v>10</v>
      </c>
    </row>
    <row r="12" spans="1:8">
      <c r="A12" s="1"/>
      <c r="B12" s="1" t="s">
        <v>13</v>
      </c>
      <c r="C12" s="2">
        <v>233.08</v>
      </c>
      <c r="D12" s="3">
        <f t="shared" si="0"/>
        <v>4290.37240432469</v>
      </c>
      <c r="E12" s="3">
        <f t="shared" si="1"/>
        <v>2145.18620216235</v>
      </c>
      <c r="F12" s="4">
        <f t="shared" si="2"/>
        <v>1977</v>
      </c>
      <c r="G12" s="4">
        <f t="shared" si="3"/>
        <v>63559</v>
      </c>
      <c r="H12" s="1">
        <v>11</v>
      </c>
    </row>
    <row r="13" spans="1:8">
      <c r="A13" s="1"/>
      <c r="B13" s="1">
        <v>7</v>
      </c>
      <c r="C13" s="2">
        <v>246.94</v>
      </c>
      <c r="D13" s="3">
        <f t="shared" si="0"/>
        <v>4049.56669636349</v>
      </c>
      <c r="E13" s="3">
        <f t="shared" si="1"/>
        <v>2024.78334818174</v>
      </c>
      <c r="F13" s="4">
        <f t="shared" si="2"/>
        <v>1866</v>
      </c>
      <c r="G13" s="4">
        <f t="shared" si="3"/>
        <v>63670</v>
      </c>
      <c r="H13" s="1">
        <v>12</v>
      </c>
    </row>
    <row r="14" spans="1:8">
      <c r="A14" s="1" t="s">
        <v>14</v>
      </c>
      <c r="B14" s="1">
        <v>1</v>
      </c>
      <c r="C14" s="2">
        <v>261.63</v>
      </c>
      <c r="D14" s="3">
        <f t="shared" si="0"/>
        <v>3822.19164468906</v>
      </c>
      <c r="E14" s="3">
        <f t="shared" si="1"/>
        <v>1911.09582234453</v>
      </c>
      <c r="F14" s="4">
        <f t="shared" si="2"/>
        <v>1761</v>
      </c>
      <c r="G14" s="4">
        <f t="shared" si="3"/>
        <v>63775</v>
      </c>
      <c r="H14" s="1">
        <v>13</v>
      </c>
    </row>
    <row r="15" spans="1:8">
      <c r="A15" s="1"/>
      <c r="B15" s="1" t="s">
        <v>9</v>
      </c>
      <c r="C15" s="2">
        <v>277.18</v>
      </c>
      <c r="D15" s="3">
        <f t="shared" si="0"/>
        <v>3607.76390792987</v>
      </c>
      <c r="E15" s="3">
        <f t="shared" si="1"/>
        <v>1803.88195396493</v>
      </c>
      <c r="F15" s="4">
        <f t="shared" si="2"/>
        <v>1662</v>
      </c>
      <c r="G15" s="4">
        <f t="shared" si="3"/>
        <v>63874</v>
      </c>
      <c r="H15" s="1">
        <v>14</v>
      </c>
    </row>
    <row r="16" spans="1:8">
      <c r="A16" s="1"/>
      <c r="B16" s="1">
        <v>2</v>
      </c>
      <c r="C16" s="2">
        <v>293.66</v>
      </c>
      <c r="D16" s="3">
        <f t="shared" si="0"/>
        <v>3405.29864469114</v>
      </c>
      <c r="E16" s="3">
        <f t="shared" si="1"/>
        <v>1702.64932234557</v>
      </c>
      <c r="F16" s="4">
        <f t="shared" si="2"/>
        <v>1569</v>
      </c>
      <c r="G16" s="4">
        <f t="shared" si="3"/>
        <v>63967</v>
      </c>
      <c r="H16" s="1">
        <v>15</v>
      </c>
    </row>
    <row r="17" spans="1:8">
      <c r="A17" s="1"/>
      <c r="B17" s="1" t="s">
        <v>10</v>
      </c>
      <c r="C17" s="2">
        <v>311.13</v>
      </c>
      <c r="D17" s="3">
        <f t="shared" si="0"/>
        <v>3214.09057307235</v>
      </c>
      <c r="E17" s="3">
        <f t="shared" si="1"/>
        <v>1607.04528653617</v>
      </c>
      <c r="F17" s="4">
        <f t="shared" si="2"/>
        <v>1481</v>
      </c>
      <c r="G17" s="4">
        <f t="shared" si="3"/>
        <v>64055</v>
      </c>
      <c r="H17" s="1">
        <v>16</v>
      </c>
    </row>
    <row r="18" spans="1:8">
      <c r="A18" s="1"/>
      <c r="B18" s="1">
        <v>3</v>
      </c>
      <c r="C18" s="2">
        <v>329.63</v>
      </c>
      <c r="D18" s="3">
        <f t="shared" si="0"/>
        <v>3033.70445651185</v>
      </c>
      <c r="E18" s="3">
        <f t="shared" si="1"/>
        <v>1516.85222825592</v>
      </c>
      <c r="F18" s="4">
        <f t="shared" si="2"/>
        <v>1398</v>
      </c>
      <c r="G18" s="4">
        <f t="shared" si="3"/>
        <v>64138</v>
      </c>
      <c r="H18" s="1">
        <v>17</v>
      </c>
    </row>
    <row r="19" spans="1:8">
      <c r="A19" s="1"/>
      <c r="B19" s="1">
        <v>4</v>
      </c>
      <c r="C19" s="2">
        <v>349.23</v>
      </c>
      <c r="D19" s="3">
        <f t="shared" si="0"/>
        <v>2863.44243048993</v>
      </c>
      <c r="E19" s="3">
        <f t="shared" si="1"/>
        <v>1431.72121524497</v>
      </c>
      <c r="F19" s="4">
        <f t="shared" si="2"/>
        <v>1319</v>
      </c>
      <c r="G19" s="4">
        <f t="shared" si="3"/>
        <v>64217</v>
      </c>
      <c r="H19" s="1">
        <v>18</v>
      </c>
    </row>
    <row r="20" spans="1:8">
      <c r="A20" s="1"/>
      <c r="B20" s="1" t="s">
        <v>11</v>
      </c>
      <c r="C20" s="2">
        <v>369.99</v>
      </c>
      <c r="D20" s="3">
        <f t="shared" si="0"/>
        <v>2702.77575069596</v>
      </c>
      <c r="E20" s="3">
        <f t="shared" si="1"/>
        <v>1351.38787534798</v>
      </c>
      <c r="F20" s="4">
        <f t="shared" si="2"/>
        <v>1245</v>
      </c>
      <c r="G20" s="4">
        <f t="shared" si="3"/>
        <v>64291</v>
      </c>
      <c r="H20" s="1">
        <v>19</v>
      </c>
    </row>
    <row r="21" spans="1:8">
      <c r="A21" s="1"/>
      <c r="B21" s="1">
        <v>5</v>
      </c>
      <c r="C21" s="2">
        <v>392</v>
      </c>
      <c r="D21" s="3">
        <f t="shared" si="0"/>
        <v>2551.02040816327</v>
      </c>
      <c r="E21" s="3">
        <f t="shared" si="1"/>
        <v>1275.51020408163</v>
      </c>
      <c r="F21" s="4">
        <f t="shared" si="2"/>
        <v>1176</v>
      </c>
      <c r="G21" s="4">
        <f t="shared" si="3"/>
        <v>64360</v>
      </c>
      <c r="H21" s="1">
        <v>20</v>
      </c>
    </row>
    <row r="22" spans="1:8">
      <c r="A22" s="1"/>
      <c r="B22" s="1" t="s">
        <v>12</v>
      </c>
      <c r="C22" s="2">
        <v>415.3</v>
      </c>
      <c r="D22" s="3">
        <f t="shared" si="0"/>
        <v>2407.89790512882</v>
      </c>
      <c r="E22" s="3">
        <f t="shared" si="1"/>
        <v>1203.94895256441</v>
      </c>
      <c r="F22" s="4">
        <f t="shared" si="2"/>
        <v>1110</v>
      </c>
      <c r="G22" s="4">
        <f t="shared" si="3"/>
        <v>64426</v>
      </c>
      <c r="H22" s="1">
        <v>21</v>
      </c>
    </row>
    <row r="23" spans="1:8">
      <c r="A23" s="1"/>
      <c r="B23" s="1">
        <v>6</v>
      </c>
      <c r="C23" s="2">
        <v>440</v>
      </c>
      <c r="D23" s="3">
        <f t="shared" si="0"/>
        <v>2272.72727272727</v>
      </c>
      <c r="E23" s="3">
        <f t="shared" si="1"/>
        <v>1136.36363636364</v>
      </c>
      <c r="F23" s="4">
        <f t="shared" si="2"/>
        <v>1047</v>
      </c>
      <c r="G23" s="4">
        <f t="shared" si="3"/>
        <v>64489</v>
      </c>
      <c r="H23" s="1">
        <v>22</v>
      </c>
    </row>
    <row r="24" spans="1:8">
      <c r="A24" s="1"/>
      <c r="B24" s="1" t="s">
        <v>13</v>
      </c>
      <c r="C24" s="2">
        <v>466.16</v>
      </c>
      <c r="D24" s="3">
        <f t="shared" si="0"/>
        <v>2145.18620216235</v>
      </c>
      <c r="E24" s="3">
        <f t="shared" si="1"/>
        <v>1072.59310108117</v>
      </c>
      <c r="F24" s="4">
        <f t="shared" si="2"/>
        <v>989</v>
      </c>
      <c r="G24" s="4">
        <f t="shared" si="3"/>
        <v>64547</v>
      </c>
      <c r="H24" s="1">
        <v>23</v>
      </c>
    </row>
    <row r="25" spans="1:8">
      <c r="A25" s="1"/>
      <c r="B25" s="1">
        <v>7</v>
      </c>
      <c r="C25" s="2">
        <v>493.88</v>
      </c>
      <c r="D25" s="3">
        <f t="shared" si="0"/>
        <v>2024.78334818174</v>
      </c>
      <c r="E25" s="3">
        <f t="shared" si="1"/>
        <v>1012.39167409087</v>
      </c>
      <c r="F25" s="4">
        <f t="shared" si="2"/>
        <v>933</v>
      </c>
      <c r="G25" s="4">
        <f t="shared" si="3"/>
        <v>64603</v>
      </c>
      <c r="H25" s="1">
        <v>24</v>
      </c>
    </row>
    <row r="26" spans="1:8">
      <c r="A26" s="1" t="s">
        <v>15</v>
      </c>
      <c r="B26" s="1">
        <v>1</v>
      </c>
      <c r="C26" s="2">
        <v>523.25</v>
      </c>
      <c r="D26" s="3">
        <f t="shared" si="0"/>
        <v>1911.13234591495</v>
      </c>
      <c r="E26" s="3">
        <f t="shared" si="1"/>
        <v>955.566172957477</v>
      </c>
      <c r="F26" s="4">
        <f t="shared" si="2"/>
        <v>881</v>
      </c>
      <c r="G26" s="4">
        <f t="shared" si="3"/>
        <v>64655</v>
      </c>
      <c r="H26" s="1">
        <v>25</v>
      </c>
    </row>
    <row r="27" spans="1:8">
      <c r="A27" s="1"/>
      <c r="B27" s="1" t="s">
        <v>9</v>
      </c>
      <c r="C27" s="2">
        <v>554.37</v>
      </c>
      <c r="D27" s="3">
        <f t="shared" si="0"/>
        <v>1803.84941465086</v>
      </c>
      <c r="E27" s="3">
        <f t="shared" si="1"/>
        <v>901.924707325432</v>
      </c>
      <c r="F27" s="4">
        <f t="shared" si="2"/>
        <v>831</v>
      </c>
      <c r="G27" s="4">
        <f t="shared" si="3"/>
        <v>64705</v>
      </c>
      <c r="H27" s="1">
        <v>26</v>
      </c>
    </row>
    <row r="28" spans="1:8">
      <c r="A28" s="1"/>
      <c r="B28" s="1">
        <v>2</v>
      </c>
      <c r="C28" s="2">
        <v>587.33</v>
      </c>
      <c r="D28" s="3">
        <f t="shared" si="0"/>
        <v>1702.62033269201</v>
      </c>
      <c r="E28" s="3">
        <f t="shared" si="1"/>
        <v>851.310166346006</v>
      </c>
      <c r="F28" s="4">
        <f t="shared" si="2"/>
        <v>785</v>
      </c>
      <c r="G28" s="4">
        <f t="shared" si="3"/>
        <v>64751</v>
      </c>
      <c r="H28" s="1">
        <v>27</v>
      </c>
    </row>
    <row r="29" spans="1:8">
      <c r="A29" s="1"/>
      <c r="B29" s="1" t="s">
        <v>10</v>
      </c>
      <c r="C29" s="2">
        <v>622.25</v>
      </c>
      <c r="D29" s="3">
        <f t="shared" si="0"/>
        <v>1607.07111289675</v>
      </c>
      <c r="E29" s="3">
        <f t="shared" si="1"/>
        <v>803.535556448373</v>
      </c>
      <c r="F29" s="4">
        <f t="shared" si="2"/>
        <v>741</v>
      </c>
      <c r="G29" s="4">
        <f t="shared" si="3"/>
        <v>64795</v>
      </c>
      <c r="H29" s="1">
        <v>28</v>
      </c>
    </row>
    <row r="30" spans="1:8">
      <c r="A30" s="1"/>
      <c r="B30" s="1">
        <v>3</v>
      </c>
      <c r="C30" s="2">
        <v>659.26</v>
      </c>
      <c r="D30" s="3">
        <f t="shared" si="0"/>
        <v>1516.85222825592</v>
      </c>
      <c r="E30" s="3">
        <f t="shared" si="1"/>
        <v>758.426114127962</v>
      </c>
      <c r="F30" s="4">
        <f t="shared" si="2"/>
        <v>699</v>
      </c>
      <c r="G30" s="4">
        <f t="shared" si="3"/>
        <v>64837</v>
      </c>
      <c r="H30" s="1">
        <v>29</v>
      </c>
    </row>
    <row r="31" spans="1:8">
      <c r="A31" s="1"/>
      <c r="B31" s="1">
        <v>4</v>
      </c>
      <c r="C31" s="2">
        <v>698.46</v>
      </c>
      <c r="D31" s="3">
        <f t="shared" si="0"/>
        <v>1431.72121524497</v>
      </c>
      <c r="E31" s="3">
        <f t="shared" si="1"/>
        <v>715.860607622484</v>
      </c>
      <c r="F31" s="4">
        <f t="shared" si="2"/>
        <v>660</v>
      </c>
      <c r="G31" s="4">
        <f t="shared" si="3"/>
        <v>64876</v>
      </c>
      <c r="H31" s="1">
        <v>30</v>
      </c>
    </row>
    <row r="32" spans="1:8">
      <c r="A32" s="1"/>
      <c r="B32" s="1" t="s">
        <v>11</v>
      </c>
      <c r="C32" s="2">
        <v>739.99</v>
      </c>
      <c r="D32" s="3">
        <f t="shared" si="0"/>
        <v>1351.36961310288</v>
      </c>
      <c r="E32" s="3">
        <f t="shared" si="1"/>
        <v>675.68480655144</v>
      </c>
      <c r="F32" s="4">
        <f t="shared" si="2"/>
        <v>623</v>
      </c>
      <c r="G32" s="4">
        <f t="shared" si="3"/>
        <v>64913</v>
      </c>
      <c r="H32" s="1">
        <v>31</v>
      </c>
    </row>
    <row r="33" spans="1:8">
      <c r="A33" s="1"/>
      <c r="B33" s="1">
        <v>5</v>
      </c>
      <c r="C33" s="2">
        <v>783.99</v>
      </c>
      <c r="D33" s="3">
        <f t="shared" si="0"/>
        <v>1275.52647355196</v>
      </c>
      <c r="E33" s="3">
        <f t="shared" si="1"/>
        <v>637.763236775979</v>
      </c>
      <c r="F33" s="4">
        <f t="shared" si="2"/>
        <v>588</v>
      </c>
      <c r="G33" s="4">
        <f t="shared" si="3"/>
        <v>64948</v>
      </c>
      <c r="H33" s="1">
        <v>32</v>
      </c>
    </row>
    <row r="34" spans="1:8">
      <c r="A34" s="1"/>
      <c r="B34" s="1" t="s">
        <v>12</v>
      </c>
      <c r="C34" s="2">
        <v>830.61</v>
      </c>
      <c r="D34" s="3">
        <f t="shared" si="0"/>
        <v>1203.93445780812</v>
      </c>
      <c r="E34" s="3">
        <f t="shared" si="1"/>
        <v>601.967228904058</v>
      </c>
      <c r="F34" s="4">
        <f t="shared" si="2"/>
        <v>555</v>
      </c>
      <c r="G34" s="4">
        <f t="shared" si="3"/>
        <v>64981</v>
      </c>
      <c r="H34" s="1">
        <v>33</v>
      </c>
    </row>
    <row r="35" spans="1:8">
      <c r="A35" s="1"/>
      <c r="B35" s="1">
        <v>6</v>
      </c>
      <c r="C35" s="2">
        <v>880</v>
      </c>
      <c r="D35" s="3">
        <f t="shared" si="0"/>
        <v>1136.36363636364</v>
      </c>
      <c r="E35" s="3">
        <f t="shared" si="1"/>
        <v>568.181818181818</v>
      </c>
      <c r="F35" s="4">
        <f t="shared" si="2"/>
        <v>524</v>
      </c>
      <c r="G35" s="4">
        <f t="shared" si="3"/>
        <v>65012</v>
      </c>
      <c r="H35" s="1">
        <v>34</v>
      </c>
    </row>
    <row r="36" spans="1:8">
      <c r="A36" s="1"/>
      <c r="B36" s="1" t="s">
        <v>13</v>
      </c>
      <c r="C36" s="2">
        <v>932.33</v>
      </c>
      <c r="D36" s="3">
        <f t="shared" si="0"/>
        <v>1072.58159664496</v>
      </c>
      <c r="E36" s="3">
        <f t="shared" si="1"/>
        <v>536.290798322482</v>
      </c>
      <c r="F36" s="4">
        <f t="shared" si="2"/>
        <v>494</v>
      </c>
      <c r="G36" s="4">
        <f t="shared" si="3"/>
        <v>65042</v>
      </c>
      <c r="H36" s="1">
        <v>35</v>
      </c>
    </row>
    <row r="37" spans="1:8">
      <c r="A37" s="1"/>
      <c r="B37" s="1">
        <v>7</v>
      </c>
      <c r="C37" s="2">
        <v>987.77</v>
      </c>
      <c r="D37" s="3">
        <f t="shared" si="0"/>
        <v>1012.38142482562</v>
      </c>
      <c r="E37" s="3">
        <f t="shared" si="1"/>
        <v>506.190712412809</v>
      </c>
      <c r="F37" s="4">
        <f t="shared" si="2"/>
        <v>467</v>
      </c>
      <c r="G37" s="4">
        <f t="shared" si="3"/>
        <v>65069</v>
      </c>
      <c r="H37" s="1">
        <v>36</v>
      </c>
    </row>
  </sheetData>
  <mergeCells count="3">
    <mergeCell ref="A2:A13"/>
    <mergeCell ref="A14:A25"/>
    <mergeCell ref="A26:A3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占小雅</cp:lastModifiedBy>
  <dcterms:created xsi:type="dcterms:W3CDTF">2026-10-11T03:15:35Z</dcterms:created>
  <dcterms:modified xsi:type="dcterms:W3CDTF">2026-10-11T03:15:56Z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66ECA49604C34491B815011A7A806378_12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